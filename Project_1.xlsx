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9\EXCELCNV\7b4261c4-7ead-42e8-b845-ab88bc7323ea\"/>
    </mc:Choice>
  </mc:AlternateContent>
  <xr:revisionPtr revIDLastSave="0" documentId="8_{6EC1FA9C-9A34-4018-A8E1-1A390E641FA0}" xr6:coauthVersionLast="47" xr6:coauthVersionMax="47" xr10:uidLastSave="{00000000-0000-0000-0000-000000000000}"/>
  <bookViews>
    <workbookView xWindow="-60" yWindow="-60" windowWidth="15480" windowHeight="11640" firstSheet="2" activeTab="2" xr2:uid="{755EB98F-018A-4102-9946-6479953030AA}"/>
  </bookViews>
  <sheets>
    <sheet name="student_data" sheetId="1" r:id="rId1"/>
    <sheet name="sales_data" sheetId="2" r:id="rId2"/>
    <sheet name="employees_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K2" i="3"/>
  <c r="N2" i="3" a="1"/>
  <c r="N2" i="3" s="1"/>
  <c r="I2" i="3"/>
  <c r="F3" i="3"/>
  <c r="G3" i="3" s="1"/>
  <c r="F4" i="3"/>
  <c r="G4" i="3" s="1"/>
  <c r="F5" i="3"/>
  <c r="G5" i="3" s="1"/>
  <c r="F6" i="3"/>
  <c r="G6" i="3" s="1"/>
  <c r="F7" i="3"/>
  <c r="G7" i="3" s="1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" i="3"/>
  <c r="G2" i="3" s="1"/>
  <c r="R2" i="2" a="1"/>
  <c r="R2" i="2" s="1"/>
  <c r="Q2" i="2"/>
  <c r="O2" i="2" a="1"/>
  <c r="O2" i="2" s="1"/>
  <c r="L2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I2" i="2"/>
  <c r="H2" i="2"/>
  <c r="B15" i="1"/>
  <c r="R3" i="1"/>
  <c r="R4" i="1"/>
  <c r="R5" i="1"/>
  <c r="R6" i="1"/>
  <c r="R7" i="1"/>
  <c r="R8" i="1"/>
  <c r="R9" i="1"/>
  <c r="R10" i="1"/>
  <c r="R11" i="1"/>
  <c r="R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N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2" i="1"/>
  <c r="G3" i="1"/>
  <c r="G4" i="1"/>
  <c r="G5" i="1"/>
  <c r="G6" i="1"/>
  <c r="G7" i="1"/>
  <c r="G8" i="1"/>
  <c r="G9" i="1"/>
  <c r="G10" i="1"/>
  <c r="G11" i="1"/>
  <c r="G2" i="1"/>
  <c r="J2" i="1" s="1"/>
  <c r="J11" i="1" l="1"/>
  <c r="J10" i="1"/>
  <c r="J9" i="1"/>
  <c r="J8" i="1"/>
  <c r="J7" i="1"/>
  <c r="J6" i="1"/>
  <c r="J5" i="1"/>
  <c r="J4" i="1"/>
  <c r="J3" i="1"/>
  <c r="O2" i="1"/>
  <c r="K2" i="1" a="1"/>
  <c r="K2" i="1" s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<sst xmlns="http://schemas.openxmlformats.org/spreadsheetml/2006/main" count="185" uniqueCount="135">
  <si>
    <t>Student ID</t>
  </si>
  <si>
    <t>NAME</t>
  </si>
  <si>
    <t>DOB</t>
  </si>
  <si>
    <t>MATHS</t>
  </si>
  <si>
    <t>SCI</t>
  </si>
  <si>
    <t>ENG</t>
  </si>
  <si>
    <t>TOTAL</t>
  </si>
  <si>
    <t>AVERAGE</t>
  </si>
  <si>
    <t>GRADE</t>
  </si>
  <si>
    <t>RANK</t>
  </si>
  <si>
    <t xml:space="preserve">STUDENT NAME WHO SCORE ABOUVE 70 </t>
  </si>
  <si>
    <t>AGE</t>
  </si>
  <si>
    <t>SCI &amp; MATHS &gt; 80</t>
  </si>
  <si>
    <t>MATHS &gt; 50</t>
  </si>
  <si>
    <t xml:space="preserve">STUDENTS SCORE ABOUVE 60 </t>
  </si>
  <si>
    <t xml:space="preserve">LEFT AND FIND </t>
  </si>
  <si>
    <t xml:space="preserve"> NAME UPPER</t>
  </si>
  <si>
    <t>NAME LOWER</t>
  </si>
  <si>
    <t>virat kholi</t>
  </si>
  <si>
    <t>sachin tendulkar</t>
  </si>
  <si>
    <t>hardik pandya</t>
  </si>
  <si>
    <t>jay patel</t>
  </si>
  <si>
    <t>nayan vaghela</t>
  </si>
  <si>
    <t>krunal saha</t>
  </si>
  <si>
    <t>arman rajput</t>
  </si>
  <si>
    <t>tushar patil</t>
  </si>
  <si>
    <t>divyesh jadav</t>
  </si>
  <si>
    <t>zeel parjapati</t>
  </si>
  <si>
    <t>FETCH STUDENT ID</t>
  </si>
  <si>
    <t>FETCH COLUM NUMBER</t>
  </si>
  <si>
    <t>FETCHED</t>
  </si>
  <si>
    <t>SALES ID</t>
  </si>
  <si>
    <t>PRODUCT CODE</t>
  </si>
  <si>
    <t>PRODUCT</t>
  </si>
  <si>
    <t>REGION</t>
  </si>
  <si>
    <t>SALES PERSON</t>
  </si>
  <si>
    <t>AMOUNT</t>
  </si>
  <si>
    <t>DATE</t>
  </si>
  <si>
    <t>Compute discount</t>
  </si>
  <si>
    <t>VLOOKUP PRODUCT PRICE</t>
  </si>
  <si>
    <t>Check Available</t>
  </si>
  <si>
    <t>Sum sales for a specific region and product</t>
  </si>
  <si>
    <t>Retrieve product price based on product code</t>
  </si>
  <si>
    <t>sales person</t>
  </si>
  <si>
    <t>month </t>
  </si>
  <si>
    <t>salesperson in specific month amount</t>
  </si>
  <si>
    <t>product</t>
  </si>
  <si>
    <t>XMATCH — find product position</t>
  </si>
  <si>
    <t>OFFSET — Create dynamic sales range</t>
  </si>
  <si>
    <t>P111</t>
  </si>
  <si>
    <t>Keybord</t>
  </si>
  <si>
    <t>South</t>
  </si>
  <si>
    <t>Person 1</t>
  </si>
  <si>
    <t>person 8</t>
  </si>
  <si>
    <t>keybord</t>
  </si>
  <si>
    <t>P112</t>
  </si>
  <si>
    <t>Printer</t>
  </si>
  <si>
    <t>West</t>
  </si>
  <si>
    <t>Person 2</t>
  </si>
  <si>
    <t>P113</t>
  </si>
  <si>
    <t>Mouse</t>
  </si>
  <si>
    <t>Person 3</t>
  </si>
  <si>
    <t>P114</t>
  </si>
  <si>
    <t>East</t>
  </si>
  <si>
    <t>Person 4</t>
  </si>
  <si>
    <t>P115</t>
  </si>
  <si>
    <t>North</t>
  </si>
  <si>
    <t>Person 5</t>
  </si>
  <si>
    <t>P116</t>
  </si>
  <si>
    <t>Person 6</t>
  </si>
  <si>
    <t>P117</t>
  </si>
  <si>
    <t>Person 7</t>
  </si>
  <si>
    <t>P118</t>
  </si>
  <si>
    <t>Person 8</t>
  </si>
  <si>
    <t>P119</t>
  </si>
  <si>
    <t>Person 9</t>
  </si>
  <si>
    <t>P120</t>
  </si>
  <si>
    <t>Person 10</t>
  </si>
  <si>
    <t>P121</t>
  </si>
  <si>
    <t>Person 11</t>
  </si>
  <si>
    <t>P122</t>
  </si>
  <si>
    <t>Monitor</t>
  </si>
  <si>
    <t>Person 12</t>
  </si>
  <si>
    <t>P123</t>
  </si>
  <si>
    <t>Laptop</t>
  </si>
  <si>
    <t>Person 13</t>
  </si>
  <si>
    <t>P124</t>
  </si>
  <si>
    <t>Person 14</t>
  </si>
  <si>
    <t>P125</t>
  </si>
  <si>
    <t>Person 15</t>
  </si>
  <si>
    <t>P126</t>
  </si>
  <si>
    <t>Person 16</t>
  </si>
  <si>
    <t>P127</t>
  </si>
  <si>
    <t>Person 17</t>
  </si>
  <si>
    <t>P128</t>
  </si>
  <si>
    <t>Person 18</t>
  </si>
  <si>
    <t>P129</t>
  </si>
  <si>
    <t>Person 19</t>
  </si>
  <si>
    <t>P130</t>
  </si>
  <si>
    <t>Person 20</t>
  </si>
  <si>
    <t>Empoyees ID</t>
  </si>
  <si>
    <t>department</t>
  </si>
  <si>
    <t>Salary</t>
  </si>
  <si>
    <t>JOING DATE</t>
  </si>
  <si>
    <t>CURRENT DATE</t>
  </si>
  <si>
    <t>Years of Service</t>
  </si>
  <si>
    <t>XLOOKUP to fetch employee salaries dynamically</t>
  </si>
  <si>
    <t>Look up employee details dynamically without column restrictions</t>
  </si>
  <si>
    <t>Epoyees id</t>
  </si>
  <si>
    <t>Find employee salaries without worrying about sorted data</t>
  </si>
  <si>
    <t>Dynamically reference a cell range using INDIRECT.</t>
  </si>
  <si>
    <t>Employees 1</t>
  </si>
  <si>
    <t>Finance</t>
  </si>
  <si>
    <t>Employees 2</t>
  </si>
  <si>
    <t>Employees 3</t>
  </si>
  <si>
    <t>HR</t>
  </si>
  <si>
    <t>Employees 4</t>
  </si>
  <si>
    <t>Employees 5</t>
  </si>
  <si>
    <t>IT</t>
  </si>
  <si>
    <t>Employees 6</t>
  </si>
  <si>
    <t>Employees 7</t>
  </si>
  <si>
    <t>Marketing</t>
  </si>
  <si>
    <t>Employees 8</t>
  </si>
  <si>
    <t>Employees 9</t>
  </si>
  <si>
    <t>Employees 10</t>
  </si>
  <si>
    <t>Employees 11</t>
  </si>
  <si>
    <t>Employees 12</t>
  </si>
  <si>
    <t>Employees 13</t>
  </si>
  <si>
    <t>Employees 14</t>
  </si>
  <si>
    <t>Employees 15</t>
  </si>
  <si>
    <t>Employees 16</t>
  </si>
  <si>
    <t>Employees 17</t>
  </si>
  <si>
    <t>Employees 18</t>
  </si>
  <si>
    <t>Employees 19</t>
  </si>
  <si>
    <t>Employees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</si>
</sst>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\ AM/PM"/>
    <numFmt numFmtId="165" formatCode="dd\/mm\/yyyy\ hh:mm\ AM/PM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Aptos Narrow"/>
      <charset val="1"/>
    </font>
    <font>
      <sz val="16"/>
      <color rgb="FF000000"/>
      <name val="Calibri"/>
      <charset val="1"/>
    </font>
    <font>
      <b/>
      <u/>
      <sz val="12"/>
      <color rgb="FF000000"/>
      <name val="Batang"/>
    </font>
    <font>
      <b/>
      <u/>
      <sz val="12"/>
      <color theme="1"/>
      <name val="Batang"/>
    </font>
    <font>
      <sz val="14"/>
      <color rgb="FF000000"/>
      <name val="Aptos Narrow"/>
      <charset val="1"/>
    </font>
    <font>
      <sz val="14"/>
      <color rgb="FF000000"/>
      <name val="Calibri"/>
      <charset val="1"/>
    </font>
    <font>
      <sz val="14"/>
      <color rgb="FF000000"/>
      <name val="Arial"/>
      <charset val="1"/>
    </font>
    <font>
      <b/>
      <i/>
      <u/>
      <sz val="14"/>
      <color rgb="FF000000"/>
      <name val="Aptos Narrow"/>
      <charset val="1"/>
    </font>
    <font>
      <b/>
      <i/>
      <u/>
      <sz val="14"/>
      <color theme="1"/>
      <name val="Calibri"/>
      <scheme val="minor"/>
    </font>
    <font>
      <b/>
      <i/>
      <u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AF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20" fillId="0" borderId="0" xfId="0" applyFont="1"/>
    <xf numFmtId="0" fontId="19" fillId="0" borderId="10" xfId="0" applyFont="1" applyBorder="1"/>
    <xf numFmtId="0" fontId="18" fillId="0" borderId="10" xfId="0" applyFont="1" applyBorder="1"/>
    <xf numFmtId="14" fontId="18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9" fillId="0" borderId="0" xfId="0" applyFont="1" applyBorder="1"/>
    <xf numFmtId="0" fontId="18" fillId="0" borderId="0" xfId="0" applyFont="1" applyBorder="1"/>
    <xf numFmtId="0" fontId="21" fillId="0" borderId="10" xfId="0" applyFont="1" applyBorder="1" applyAlignment="1">
      <alignment wrapText="1"/>
    </xf>
    <xf numFmtId="0" fontId="22" fillId="0" borderId="10" xfId="0" applyFont="1" applyBorder="1" applyAlignment="1">
      <alignment wrapText="1"/>
    </xf>
    <xf numFmtId="0" fontId="21" fillId="0" borderId="0" xfId="0" applyFont="1" applyAlignment="1">
      <alignment wrapText="1"/>
    </xf>
    <xf numFmtId="164" fontId="22" fillId="0" borderId="10" xfId="0" applyNumberFormat="1" applyFont="1" applyBorder="1" applyAlignment="1">
      <alignment wrapText="1"/>
    </xf>
    <xf numFmtId="164" fontId="21" fillId="0" borderId="0" xfId="0" applyNumberFormat="1" applyFont="1" applyAlignment="1">
      <alignment wrapText="1"/>
    </xf>
    <xf numFmtId="164" fontId="20" fillId="0" borderId="0" xfId="0" applyNumberFormat="1" applyFont="1"/>
    <xf numFmtId="0" fontId="23" fillId="0" borderId="10" xfId="0" applyFont="1" applyBorder="1" applyAlignment="1">
      <alignment wrapText="1"/>
    </xf>
    <xf numFmtId="164" fontId="23" fillId="0" borderId="10" xfId="0" applyNumberFormat="1" applyFont="1" applyBorder="1" applyAlignment="1">
      <alignment wrapText="1"/>
    </xf>
    <xf numFmtId="0" fontId="24" fillId="0" borderId="0" xfId="0" applyFont="1"/>
    <xf numFmtId="0" fontId="20" fillId="0" borderId="10" xfId="0" applyFont="1" applyBorder="1"/>
    <xf numFmtId="0" fontId="25" fillId="0" borderId="10" xfId="0" applyFont="1" applyBorder="1" applyAlignment="1">
      <alignment wrapText="1"/>
    </xf>
    <xf numFmtId="165" fontId="26" fillId="0" borderId="10" xfId="0" applyNumberFormat="1" applyFont="1" applyBorder="1" applyAlignment="1">
      <alignment wrapText="1"/>
    </xf>
    <xf numFmtId="165" fontId="18" fillId="0" borderId="0" xfId="0" applyNumberFormat="1" applyFont="1" applyBorder="1"/>
    <xf numFmtId="165" fontId="22" fillId="0" borderId="10" xfId="0" applyNumberFormat="1" applyFont="1" applyBorder="1" applyAlignment="1">
      <alignment wrapText="1"/>
    </xf>
    <xf numFmtId="0" fontId="27" fillId="33" borderId="10" xfId="0" applyFont="1" applyFill="1" applyBorder="1" applyAlignment="1">
      <alignment wrapText="1"/>
    </xf>
    <xf numFmtId="0" fontId="28" fillId="0" borderId="10" xfId="0" applyFont="1" applyBorder="1" applyAlignment="1">
      <alignment horizontal="center"/>
    </xf>
    <xf numFmtId="0" fontId="25" fillId="0" borderId="13" xfId="0" applyFont="1" applyBorder="1" applyAlignment="1">
      <alignment wrapText="1"/>
    </xf>
    <xf numFmtId="165" fontId="26" fillId="0" borderId="13" xfId="0" applyNumberFormat="1" applyFont="1" applyBorder="1" applyAlignment="1">
      <alignment wrapText="1"/>
    </xf>
    <xf numFmtId="165" fontId="28" fillId="0" borderId="10" xfId="0" applyNumberFormat="1" applyFont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30" fillId="0" borderId="12" xfId="0" applyFon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26" fillId="0" borderId="10" xfId="0" applyNumberFormat="1" applyFont="1" applyBorder="1" applyAlignment="1">
      <alignment horizontal="center" wrapText="1"/>
    </xf>
    <xf numFmtId="0" fontId="27" fillId="33" borderId="10" xfId="0" applyFont="1" applyFill="1" applyBorder="1" applyAlignment="1">
      <alignment horizontal="center" wrapText="1"/>
    </xf>
    <xf numFmtId="165" fontId="22" fillId="0" borderId="14" xfId="0" applyNumberFormat="1" applyFont="1" applyBorder="1" applyAlignment="1">
      <alignment wrapText="1"/>
    </xf>
    <xf numFmtId="165" fontId="22" fillId="0" borderId="11" xfId="0" applyNumberFormat="1" applyFont="1" applyBorder="1" applyAlignment="1">
      <alignment wrapText="1"/>
    </xf>
    <xf numFmtId="0" fontId="26" fillId="0" borderId="15" xfId="0" applyNumberFormat="1" applyFont="1" applyBorder="1" applyAlignment="1">
      <alignment horizontal="center" wrapText="1"/>
    </xf>
    <xf numFmtId="0" fontId="18" fillId="0" borderId="15" xfId="0" applyFont="1" applyBorder="1"/>
    <xf numFmtId="0" fontId="18" fillId="0" borderId="15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6FE2-3F7B-4E76-9CE1-D2B528FC2F95}">
  <dimension ref="A1:R15"/>
  <sheetViews>
    <sheetView workbookViewId="0">
      <selection activeCell="N19" sqref="N19"/>
    </sheetView>
  </sheetViews>
  <sheetFormatPr defaultColWidth="28.42578125" defaultRowHeight="15"/>
  <cols>
    <col min="11" max="11" width="49" customWidth="1"/>
    <col min="15" max="15" width="37.5703125" customWidth="1"/>
  </cols>
  <sheetData>
    <row r="1" spans="1:18" s="6" customFormat="1" ht="18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7" customFormat="1" ht="18.75">
      <c r="A2" s="3">
        <v>101</v>
      </c>
      <c r="B2" s="3" t="s">
        <v>18</v>
      </c>
      <c r="C2" s="4">
        <v>39661</v>
      </c>
      <c r="D2" s="3">
        <v>100</v>
      </c>
      <c r="E2" s="3">
        <v>97</v>
      </c>
      <c r="F2" s="3">
        <v>96</v>
      </c>
      <c r="G2" s="3">
        <f>SUM(D2:E2:F2)</f>
        <v>293</v>
      </c>
      <c r="H2" s="3">
        <f>AVERAGE(D2:F2)</f>
        <v>97.666666666666671</v>
      </c>
      <c r="I2" s="5" t="str">
        <f>IF(H2&gt;=90, "A", IF(H2&gt;=80, "B", IF(H2&gt;=70, "C", IF(H2&gt;=60, "D", "F"))))</f>
        <v>A</v>
      </c>
      <c r="J2" s="5">
        <f>IF(G2="","",COUNTIF($G$2:$G$11,"&gt;"&amp;G2)+1)</f>
        <v>1</v>
      </c>
      <c r="K2" s="3" t="str" cm="1">
        <f t="array" ref="K2:K11">_xlfn._xlws.FILTER(B2:B11,H2:H11&gt;70)</f>
        <v>virat kholi</v>
      </c>
      <c r="L2" s="3">
        <f ca="1">IF(C2&gt;TODAY(),"N/A",DATEDIF(C2,TODAY(),"y"))</f>
        <v>18</v>
      </c>
      <c r="M2" s="5" t="str">
        <f>IF(AND(D2&gt; 80,E2&gt; 80),"pass","fail")</f>
        <v>pass</v>
      </c>
      <c r="N2" s="3">
        <f>COUNTIF(D2:D11, "&gt;50")</f>
        <v>9</v>
      </c>
      <c r="O2" s="3">
        <f>COUNTIFS(H2:H11,"&gt;60")</f>
        <v>10</v>
      </c>
      <c r="P2" s="3" t="str">
        <f>LEFT(B2,FIND(" ",B2)-1)</f>
        <v>virat</v>
      </c>
      <c r="Q2" s="3" t="str">
        <f>UPPER(B2)</f>
        <v>VIRAT KHOLI</v>
      </c>
      <c r="R2" s="3" t="str">
        <f>LOWER(B2)</f>
        <v>virat kholi</v>
      </c>
    </row>
    <row r="3" spans="1:18" s="7" customFormat="1" ht="18.75">
      <c r="A3" s="3">
        <v>102</v>
      </c>
      <c r="B3" s="3" t="s">
        <v>19</v>
      </c>
      <c r="C3" s="4">
        <v>38756</v>
      </c>
      <c r="D3" s="3">
        <v>95</v>
      </c>
      <c r="E3" s="3">
        <v>100</v>
      </c>
      <c r="F3" s="3">
        <v>89</v>
      </c>
      <c r="G3" s="3">
        <f>SUM(D3:E3:F3)</f>
        <v>284</v>
      </c>
      <c r="H3" s="3">
        <f t="shared" ref="H3:H11" si="0">AVERAGE(D3:F3)</f>
        <v>94.666666666666671</v>
      </c>
      <c r="I3" s="5" t="str">
        <f t="shared" ref="I3:I11" si="1">IF(H3&gt;=90, "A", IF(H3&gt;=80, "B", IF(H3&gt;=70, "C", IF(H3&gt;=60, "D", "F"))))</f>
        <v>A</v>
      </c>
      <c r="J3" s="5">
        <f t="shared" ref="J3:J11" si="2">IF(G3="","",COUNTIF($G$2:$G$11,"&gt;"&amp;G3)+1)</f>
        <v>2</v>
      </c>
      <c r="K3" s="3" t="str">
        <v>sachin tendulkar</v>
      </c>
      <c r="L3" s="3">
        <f t="shared" ref="L3:L11" ca="1" si="3">IF(C3&gt;TODAY(),"N/A",DATEDIF(C3,TODAY(),"y"))</f>
        <v>20</v>
      </c>
      <c r="M3" s="5" t="str">
        <f t="shared" ref="M3:M11" si="4">IF(AND(D3&gt; 80,E3&gt; 80),"pass","fail")</f>
        <v>pass</v>
      </c>
      <c r="N3" s="3"/>
      <c r="O3" s="3"/>
      <c r="P3" s="3" t="str">
        <f t="shared" ref="P3:P11" si="5">LEFT(B3,FIND(" ",B3)-1)</f>
        <v>sachin</v>
      </c>
      <c r="Q3" s="3" t="str">
        <f t="shared" ref="Q3:Q11" si="6">UPPER(B3)</f>
        <v>SACHIN TENDULKAR</v>
      </c>
      <c r="R3" s="3" t="str">
        <f t="shared" ref="R3:R11" si="7">LOWER(B3)</f>
        <v>sachin tendulkar</v>
      </c>
    </row>
    <row r="4" spans="1:18" s="7" customFormat="1" ht="18.75">
      <c r="A4" s="3">
        <v>103</v>
      </c>
      <c r="B4" s="3" t="s">
        <v>20</v>
      </c>
      <c r="C4" s="4">
        <v>38808</v>
      </c>
      <c r="D4" s="3">
        <v>87</v>
      </c>
      <c r="E4" s="3">
        <v>92</v>
      </c>
      <c r="F4" s="3">
        <v>79</v>
      </c>
      <c r="G4" s="3">
        <f>SUM(D4:E4:F4)</f>
        <v>258</v>
      </c>
      <c r="H4" s="3">
        <f t="shared" si="0"/>
        <v>86</v>
      </c>
      <c r="I4" s="5" t="str">
        <f t="shared" si="1"/>
        <v>B</v>
      </c>
      <c r="J4" s="5">
        <f t="shared" si="2"/>
        <v>5</v>
      </c>
      <c r="K4" s="3" t="str">
        <v>hardik pandya</v>
      </c>
      <c r="L4" s="3">
        <f t="shared" ca="1" si="3"/>
        <v>20</v>
      </c>
      <c r="M4" s="5" t="str">
        <f t="shared" si="4"/>
        <v>pass</v>
      </c>
      <c r="N4" s="3"/>
      <c r="O4" s="3"/>
      <c r="P4" s="3" t="str">
        <f t="shared" si="5"/>
        <v>hardik</v>
      </c>
      <c r="Q4" s="3" t="str">
        <f t="shared" si="6"/>
        <v>HARDIK PANDYA</v>
      </c>
      <c r="R4" s="3" t="str">
        <f t="shared" si="7"/>
        <v>hardik pandya</v>
      </c>
    </row>
    <row r="5" spans="1:18" s="7" customFormat="1" ht="18.75">
      <c r="A5" s="3">
        <v>104</v>
      </c>
      <c r="B5" s="3" t="s">
        <v>21</v>
      </c>
      <c r="C5" s="4">
        <v>40695</v>
      </c>
      <c r="D5" s="3">
        <v>50</v>
      </c>
      <c r="E5" s="3">
        <v>87</v>
      </c>
      <c r="F5" s="3">
        <v>85</v>
      </c>
      <c r="G5" s="3">
        <f>SUM(D5:E5:F5)</f>
        <v>222</v>
      </c>
      <c r="H5" s="3">
        <f t="shared" si="0"/>
        <v>74</v>
      </c>
      <c r="I5" s="5" t="str">
        <f t="shared" si="1"/>
        <v>C</v>
      </c>
      <c r="J5" s="5">
        <f t="shared" si="2"/>
        <v>10</v>
      </c>
      <c r="K5" s="3" t="str">
        <v>jay patel</v>
      </c>
      <c r="L5" s="3">
        <f t="shared" ca="1" si="3"/>
        <v>15</v>
      </c>
      <c r="M5" s="5" t="str">
        <f t="shared" si="4"/>
        <v>fail</v>
      </c>
      <c r="N5" s="3"/>
      <c r="O5" s="3"/>
      <c r="P5" s="3" t="str">
        <f t="shared" si="5"/>
        <v>jay</v>
      </c>
      <c r="Q5" s="3" t="str">
        <f t="shared" si="6"/>
        <v>JAY PATEL</v>
      </c>
      <c r="R5" s="3" t="str">
        <f t="shared" si="7"/>
        <v>jay patel</v>
      </c>
    </row>
    <row r="6" spans="1:18" s="7" customFormat="1" ht="18.75">
      <c r="A6" s="3">
        <v>105</v>
      </c>
      <c r="B6" s="3" t="s">
        <v>22</v>
      </c>
      <c r="C6" s="4">
        <v>39572</v>
      </c>
      <c r="D6" s="3">
        <v>97</v>
      </c>
      <c r="E6" s="3">
        <v>81</v>
      </c>
      <c r="F6" s="3">
        <v>98</v>
      </c>
      <c r="G6" s="3">
        <f>SUM(D6:E6:F6)</f>
        <v>276</v>
      </c>
      <c r="H6" s="3">
        <f t="shared" si="0"/>
        <v>92</v>
      </c>
      <c r="I6" s="5" t="str">
        <f t="shared" si="1"/>
        <v>A</v>
      </c>
      <c r="J6" s="5">
        <f t="shared" si="2"/>
        <v>3</v>
      </c>
      <c r="K6" s="3" t="str">
        <v>nayan vaghela</v>
      </c>
      <c r="L6" s="3">
        <f t="shared" ca="1" si="3"/>
        <v>18</v>
      </c>
      <c r="M6" s="5" t="str">
        <f t="shared" si="4"/>
        <v>pass</v>
      </c>
      <c r="N6" s="3"/>
      <c r="O6" s="3"/>
      <c r="P6" s="3" t="str">
        <f t="shared" si="5"/>
        <v>nayan</v>
      </c>
      <c r="Q6" s="3" t="str">
        <f t="shared" si="6"/>
        <v>NAYAN VAGHELA</v>
      </c>
      <c r="R6" s="3" t="str">
        <f t="shared" si="7"/>
        <v>nayan vaghela</v>
      </c>
    </row>
    <row r="7" spans="1:18" s="7" customFormat="1" ht="18.75">
      <c r="A7" s="3">
        <v>106</v>
      </c>
      <c r="B7" s="3" t="s">
        <v>23</v>
      </c>
      <c r="C7" s="4">
        <v>39904</v>
      </c>
      <c r="D7" s="3">
        <v>88</v>
      </c>
      <c r="E7" s="3">
        <v>85</v>
      </c>
      <c r="F7" s="3">
        <v>81</v>
      </c>
      <c r="G7" s="3">
        <f>SUM(D7:E7:F7)</f>
        <v>254</v>
      </c>
      <c r="H7" s="3">
        <f t="shared" si="0"/>
        <v>84.666666666666671</v>
      </c>
      <c r="I7" s="5" t="str">
        <f t="shared" si="1"/>
        <v>B</v>
      </c>
      <c r="J7" s="5">
        <f t="shared" si="2"/>
        <v>7</v>
      </c>
      <c r="K7" s="3" t="str">
        <v>krunal saha</v>
      </c>
      <c r="L7" s="3">
        <f t="shared" ca="1" si="3"/>
        <v>17</v>
      </c>
      <c r="M7" s="5" t="str">
        <f t="shared" si="4"/>
        <v>pass</v>
      </c>
      <c r="N7" s="3"/>
      <c r="O7" s="3"/>
      <c r="P7" s="3" t="str">
        <f t="shared" si="5"/>
        <v>krunal</v>
      </c>
      <c r="Q7" s="3" t="str">
        <f t="shared" si="6"/>
        <v>KRUNAL SAHA</v>
      </c>
      <c r="R7" s="3" t="str">
        <f t="shared" si="7"/>
        <v>krunal saha</v>
      </c>
    </row>
    <row r="8" spans="1:18" s="7" customFormat="1" ht="18.75">
      <c r="A8" s="3">
        <v>107</v>
      </c>
      <c r="B8" s="3" t="s">
        <v>24</v>
      </c>
      <c r="C8" s="4">
        <v>39820</v>
      </c>
      <c r="D8" s="3">
        <v>80</v>
      </c>
      <c r="E8" s="3">
        <v>89</v>
      </c>
      <c r="F8" s="3">
        <v>83</v>
      </c>
      <c r="G8" s="3">
        <f>SUM(D8:E8:F8)</f>
        <v>252</v>
      </c>
      <c r="H8" s="3">
        <f t="shared" si="0"/>
        <v>84</v>
      </c>
      <c r="I8" s="5" t="str">
        <f t="shared" si="1"/>
        <v>B</v>
      </c>
      <c r="J8" s="5">
        <f t="shared" si="2"/>
        <v>8</v>
      </c>
      <c r="K8" s="3" t="str">
        <v>arman rajput</v>
      </c>
      <c r="L8" s="3">
        <f t="shared" ca="1" si="3"/>
        <v>17</v>
      </c>
      <c r="M8" s="5" t="str">
        <f t="shared" si="4"/>
        <v>fail</v>
      </c>
      <c r="N8" s="3"/>
      <c r="O8" s="3"/>
      <c r="P8" s="3" t="str">
        <f t="shared" si="5"/>
        <v>arman</v>
      </c>
      <c r="Q8" s="3" t="str">
        <f t="shared" si="6"/>
        <v>ARMAN RAJPUT</v>
      </c>
      <c r="R8" s="3" t="str">
        <f t="shared" si="7"/>
        <v>arman rajput</v>
      </c>
    </row>
    <row r="9" spans="1:18" s="7" customFormat="1" ht="18.75">
      <c r="A9" s="3">
        <v>108</v>
      </c>
      <c r="B9" s="3" t="s">
        <v>25</v>
      </c>
      <c r="C9" s="4">
        <v>38753</v>
      </c>
      <c r="D9" s="3">
        <v>82</v>
      </c>
      <c r="E9" s="3">
        <v>91</v>
      </c>
      <c r="F9" s="3">
        <v>78</v>
      </c>
      <c r="G9" s="3">
        <f>SUM(D9:E9:F9)</f>
        <v>251</v>
      </c>
      <c r="H9" s="3">
        <f t="shared" si="0"/>
        <v>83.666666666666671</v>
      </c>
      <c r="I9" s="5" t="str">
        <f t="shared" si="1"/>
        <v>B</v>
      </c>
      <c r="J9" s="5">
        <f t="shared" si="2"/>
        <v>9</v>
      </c>
      <c r="K9" s="3" t="str">
        <v>tushar patil</v>
      </c>
      <c r="L9" s="3">
        <f t="shared" ca="1" si="3"/>
        <v>20</v>
      </c>
      <c r="M9" s="5" t="str">
        <f t="shared" si="4"/>
        <v>pass</v>
      </c>
      <c r="N9" s="3"/>
      <c r="O9" s="3"/>
      <c r="P9" s="3" t="str">
        <f t="shared" si="5"/>
        <v>tushar</v>
      </c>
      <c r="Q9" s="3" t="str">
        <f t="shared" si="6"/>
        <v>TUSHAR PATIL</v>
      </c>
      <c r="R9" s="3" t="str">
        <f t="shared" si="7"/>
        <v>tushar patil</v>
      </c>
    </row>
    <row r="10" spans="1:18" s="7" customFormat="1" ht="18.75">
      <c r="A10" s="3">
        <v>109</v>
      </c>
      <c r="B10" s="3" t="s">
        <v>26</v>
      </c>
      <c r="C10" s="4">
        <v>39936</v>
      </c>
      <c r="D10" s="3">
        <v>89</v>
      </c>
      <c r="E10" s="3">
        <v>85</v>
      </c>
      <c r="F10" s="3">
        <v>84</v>
      </c>
      <c r="G10" s="3">
        <f>SUM(D10:E10:F10)</f>
        <v>258</v>
      </c>
      <c r="H10" s="3">
        <f t="shared" si="0"/>
        <v>86</v>
      </c>
      <c r="I10" s="5" t="str">
        <f t="shared" si="1"/>
        <v>B</v>
      </c>
      <c r="J10" s="5">
        <f t="shared" si="2"/>
        <v>5</v>
      </c>
      <c r="K10" s="3" t="str">
        <v>divyesh jadav</v>
      </c>
      <c r="L10" s="3">
        <f t="shared" ca="1" si="3"/>
        <v>17</v>
      </c>
      <c r="M10" s="5" t="str">
        <f t="shared" si="4"/>
        <v>pass</v>
      </c>
      <c r="N10" s="3"/>
      <c r="O10" s="3"/>
      <c r="P10" s="3" t="str">
        <f t="shared" si="5"/>
        <v>divyesh</v>
      </c>
      <c r="Q10" s="3" t="str">
        <f t="shared" si="6"/>
        <v>DIVYESH JADAV</v>
      </c>
      <c r="R10" s="3" t="str">
        <f t="shared" si="7"/>
        <v>divyesh jadav</v>
      </c>
    </row>
    <row r="11" spans="1:18" s="7" customFormat="1" ht="18.75">
      <c r="A11" s="3">
        <v>110</v>
      </c>
      <c r="B11" s="3" t="s">
        <v>27</v>
      </c>
      <c r="C11" s="4">
        <v>38753</v>
      </c>
      <c r="D11" s="3">
        <v>85</v>
      </c>
      <c r="E11" s="3">
        <v>95</v>
      </c>
      <c r="F11" s="3">
        <v>79</v>
      </c>
      <c r="G11" s="3">
        <f>SUM(D11:E11:F11)</f>
        <v>259</v>
      </c>
      <c r="H11" s="3">
        <f t="shared" si="0"/>
        <v>86.333333333333329</v>
      </c>
      <c r="I11" s="5" t="str">
        <f t="shared" si="1"/>
        <v>B</v>
      </c>
      <c r="J11" s="5">
        <f t="shared" si="2"/>
        <v>4</v>
      </c>
      <c r="K11" s="3" t="str">
        <v>zeel parjapati</v>
      </c>
      <c r="L11" s="3">
        <f t="shared" ca="1" si="3"/>
        <v>20</v>
      </c>
      <c r="M11" s="5" t="str">
        <f t="shared" si="4"/>
        <v>pass</v>
      </c>
      <c r="N11" s="3"/>
      <c r="O11" s="3"/>
      <c r="P11" s="3" t="str">
        <f t="shared" si="5"/>
        <v>zeel</v>
      </c>
      <c r="Q11" s="3" t="str">
        <f t="shared" si="6"/>
        <v>ZEEL PARJAPATI</v>
      </c>
      <c r="R11" s="3" t="str">
        <f t="shared" si="7"/>
        <v>zeel parjapati</v>
      </c>
    </row>
    <row r="13" spans="1:18" ht="18.75">
      <c r="A13" s="2" t="s">
        <v>28</v>
      </c>
      <c r="B13" s="2">
        <v>101</v>
      </c>
    </row>
    <row r="14" spans="1:18" ht="18.75">
      <c r="A14" s="3" t="s">
        <v>29</v>
      </c>
      <c r="B14" s="3">
        <v>2</v>
      </c>
    </row>
    <row r="15" spans="1:18" ht="18.75">
      <c r="A15" s="3" t="s">
        <v>30</v>
      </c>
      <c r="B15" s="3" t="str">
        <f>VLOOKUP(B13,A1:J11,B14,FALSE())</f>
        <v>virat kholi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2803-0A98-4362-80DF-ED46514FE4A8}">
  <dimension ref="A1:R22"/>
  <sheetViews>
    <sheetView topLeftCell="K1" workbookViewId="0"/>
  </sheetViews>
  <sheetFormatPr defaultColWidth="18.140625" defaultRowHeight="21"/>
  <cols>
    <col min="1" max="6" width="18.140625" style="1"/>
    <col min="7" max="7" width="32" style="13" customWidth="1"/>
    <col min="8" max="8" width="22.7109375" style="1" customWidth="1"/>
    <col min="9" max="9" width="20.7109375" style="1" customWidth="1"/>
    <col min="10" max="10" width="19.28515625" style="1" customWidth="1"/>
    <col min="11" max="11" width="25.42578125" style="1" customWidth="1"/>
    <col min="12" max="12" width="24.42578125" style="1" customWidth="1"/>
    <col min="13" max="14" width="18.140625" style="1"/>
    <col min="15" max="15" width="23.5703125" style="1" customWidth="1"/>
    <col min="16" max="17" width="18.140625" style="1"/>
    <col min="18" max="18" width="22.5703125" style="1" customWidth="1"/>
    <col min="19" max="16384" width="18.140625" style="1"/>
  </cols>
  <sheetData>
    <row r="1" spans="1:18" s="16" customFormat="1" ht="42.75">
      <c r="A1" s="14" t="s">
        <v>31</v>
      </c>
      <c r="B1" s="14" t="s">
        <v>32</v>
      </c>
      <c r="C1" s="14" t="s">
        <v>33</v>
      </c>
      <c r="D1" s="14" t="s">
        <v>34</v>
      </c>
      <c r="E1" s="14" t="s">
        <v>35</v>
      </c>
      <c r="F1" s="14" t="s">
        <v>36</v>
      </c>
      <c r="G1" s="15" t="s">
        <v>37</v>
      </c>
      <c r="H1" s="14" t="s">
        <v>38</v>
      </c>
      <c r="I1" s="14" t="s">
        <v>39</v>
      </c>
      <c r="J1" s="14" t="s">
        <v>40</v>
      </c>
      <c r="K1" s="14" t="s">
        <v>41</v>
      </c>
      <c r="L1" s="14" t="s">
        <v>42</v>
      </c>
      <c r="M1" s="14" t="s">
        <v>43</v>
      </c>
      <c r="N1" s="14" t="s">
        <v>44</v>
      </c>
      <c r="O1" s="14" t="s">
        <v>45</v>
      </c>
      <c r="P1" s="14" t="s">
        <v>46</v>
      </c>
      <c r="Q1" s="14" t="s">
        <v>47</v>
      </c>
      <c r="R1" s="14" t="s">
        <v>48</v>
      </c>
    </row>
    <row r="2" spans="1:18">
      <c r="A2" s="8">
        <v>111</v>
      </c>
      <c r="B2" s="8" t="s">
        <v>49</v>
      </c>
      <c r="C2" s="9" t="s">
        <v>50</v>
      </c>
      <c r="D2" s="9" t="s">
        <v>51</v>
      </c>
      <c r="E2" s="9" t="s">
        <v>52</v>
      </c>
      <c r="F2" s="9">
        <v>7048</v>
      </c>
      <c r="G2" s="11">
        <v>45292</v>
      </c>
      <c r="H2" s="17">
        <f>IF(F2&gt;=40000,F2*20%,IF(F2&gt;=20000,F2*10%,IF(F2&gt;=10000,F2*5%,0)))</f>
        <v>0</v>
      </c>
      <c r="I2" s="17">
        <f>VLOOKUP(C2,$C$2:$F$21,4,FALSE())</f>
        <v>7048</v>
      </c>
      <c r="J2" s="17" t="str">
        <f>IF(OR(C2="Keyboard",C2="Printer"),"Available","Not Available")</f>
        <v>Not Available</v>
      </c>
      <c r="K2" s="17">
        <f>SUMIFS($F$2:$F$21,$D$2:$D$21,"east",$C$2:$C$21,"printer")</f>
        <v>25010</v>
      </c>
      <c r="L2" s="17">
        <f>VLOOKUP(B2,$B$2:$F$21,5,FALSE())</f>
        <v>7048</v>
      </c>
      <c r="M2" s="17" t="s">
        <v>53</v>
      </c>
      <c r="N2" s="17">
        <v>4</v>
      </c>
      <c r="O2" s="17" cm="1">
        <f t="array" ref="O2">SUMPRODUCT(($E$2:$E$21=M2)*(MONTH($G$2:$G$21)=N2)*$F$2:$F$21)</f>
        <v>46424</v>
      </c>
      <c r="P2" s="17" t="s">
        <v>54</v>
      </c>
      <c r="Q2" s="17">
        <f>_xlfn.XMATCH(P2,$C$2:$C$21,0)</f>
        <v>1</v>
      </c>
      <c r="R2" s="17" cm="1">
        <f t="array" aca="1" ref="R2:R21" ca="1">OFFSET($F$2,0,0,COUNTA($F$2:$F$21),1)</f>
        <v>7048</v>
      </c>
    </row>
    <row r="3" spans="1:18">
      <c r="A3" s="8">
        <v>112</v>
      </c>
      <c r="B3" s="8" t="s">
        <v>55</v>
      </c>
      <c r="C3" s="9" t="s">
        <v>56</v>
      </c>
      <c r="D3" s="9" t="s">
        <v>57</v>
      </c>
      <c r="E3" s="9" t="s">
        <v>58</v>
      </c>
      <c r="F3" s="9">
        <v>17428</v>
      </c>
      <c r="G3" s="11">
        <v>45246</v>
      </c>
      <c r="H3" s="17">
        <f t="shared" ref="H3:H21" si="0">IF(F3&gt;=40000,F3*20%,IF(F3&gt;=20000,F3*10%,IF(F3&gt;=10000,F3*5%,0)))</f>
        <v>871.40000000000009</v>
      </c>
      <c r="I3" s="17">
        <f t="shared" ref="I3:I21" si="1">VLOOKUP(C3,$C$2:$F$21,4,FALSE())</f>
        <v>17428</v>
      </c>
      <c r="J3" s="17" t="str">
        <f t="shared" ref="J3:J21" si="2">IF(OR(C3="Keyboard",C3="Printer"),"Available","Not Available")</f>
        <v>Available</v>
      </c>
      <c r="K3" s="17"/>
      <c r="L3" s="17">
        <f t="shared" ref="L3:L20" si="3">VLOOKUP(B3,$B$2:$F$21,5,FALSE())</f>
        <v>17428</v>
      </c>
      <c r="M3" s="17"/>
      <c r="N3" s="17"/>
      <c r="O3" s="17"/>
      <c r="P3" s="17"/>
      <c r="Q3" s="17"/>
      <c r="R3" s="17">
        <f ca="1"/>
        <v>17428</v>
      </c>
    </row>
    <row r="4" spans="1:18">
      <c r="A4" s="8">
        <v>113</v>
      </c>
      <c r="B4" s="8" t="s">
        <v>59</v>
      </c>
      <c r="C4" s="9" t="s">
        <v>60</v>
      </c>
      <c r="D4" s="9" t="s">
        <v>51</v>
      </c>
      <c r="E4" s="9" t="s">
        <v>61</v>
      </c>
      <c r="F4" s="9">
        <v>23672</v>
      </c>
      <c r="G4" s="11">
        <v>44957</v>
      </c>
      <c r="H4" s="17">
        <f t="shared" si="0"/>
        <v>2367.2000000000003</v>
      </c>
      <c r="I4" s="17">
        <f t="shared" si="1"/>
        <v>23672</v>
      </c>
      <c r="J4" s="17" t="str">
        <f t="shared" si="2"/>
        <v>Not Available</v>
      </c>
      <c r="K4" s="17"/>
      <c r="L4" s="17">
        <f t="shared" si="3"/>
        <v>23672</v>
      </c>
      <c r="M4" s="17"/>
      <c r="N4" s="17"/>
      <c r="O4" s="17"/>
      <c r="P4" s="17"/>
      <c r="Q4" s="17"/>
      <c r="R4" s="17">
        <f ca="1"/>
        <v>23672</v>
      </c>
    </row>
    <row r="5" spans="1:18">
      <c r="A5" s="8">
        <v>114</v>
      </c>
      <c r="B5" s="8" t="s">
        <v>62</v>
      </c>
      <c r="C5" s="9" t="s">
        <v>56</v>
      </c>
      <c r="D5" s="9" t="s">
        <v>63</v>
      </c>
      <c r="E5" s="9" t="s">
        <v>64</v>
      </c>
      <c r="F5" s="9">
        <v>5264</v>
      </c>
      <c r="G5" s="11">
        <v>44972</v>
      </c>
      <c r="H5" s="17">
        <f t="shared" si="0"/>
        <v>0</v>
      </c>
      <c r="I5" s="17">
        <f t="shared" si="1"/>
        <v>17428</v>
      </c>
      <c r="J5" s="17" t="str">
        <f t="shared" si="2"/>
        <v>Available</v>
      </c>
      <c r="K5" s="17"/>
      <c r="L5" s="17">
        <f t="shared" si="3"/>
        <v>5264</v>
      </c>
      <c r="M5" s="17"/>
      <c r="N5" s="17"/>
      <c r="O5" s="17"/>
      <c r="P5" s="17"/>
      <c r="Q5" s="17"/>
      <c r="R5" s="17">
        <f ca="1"/>
        <v>5264</v>
      </c>
    </row>
    <row r="6" spans="1:18">
      <c r="A6" s="8">
        <v>115</v>
      </c>
      <c r="B6" s="8" t="s">
        <v>65</v>
      </c>
      <c r="C6" s="9" t="s">
        <v>50</v>
      </c>
      <c r="D6" s="9" t="s">
        <v>66</v>
      </c>
      <c r="E6" s="9" t="s">
        <v>67</v>
      </c>
      <c r="F6" s="9">
        <v>43388</v>
      </c>
      <c r="G6" s="11">
        <v>44987</v>
      </c>
      <c r="H6" s="17">
        <f t="shared" si="0"/>
        <v>8677.6</v>
      </c>
      <c r="I6" s="17">
        <f t="shared" si="1"/>
        <v>7048</v>
      </c>
      <c r="J6" s="17" t="str">
        <f t="shared" si="2"/>
        <v>Not Available</v>
      </c>
      <c r="K6" s="17"/>
      <c r="L6" s="17">
        <f t="shared" si="3"/>
        <v>43388</v>
      </c>
      <c r="M6" s="17"/>
      <c r="N6" s="17"/>
      <c r="O6" s="17"/>
      <c r="P6" s="17"/>
      <c r="Q6" s="17"/>
      <c r="R6" s="17">
        <f ca="1"/>
        <v>43388</v>
      </c>
    </row>
    <row r="7" spans="1:18">
      <c r="A7" s="8">
        <v>116</v>
      </c>
      <c r="B7" s="8" t="s">
        <v>68</v>
      </c>
      <c r="C7" s="9" t="s">
        <v>60</v>
      </c>
      <c r="D7" s="9" t="s">
        <v>66</v>
      </c>
      <c r="E7" s="9" t="s">
        <v>69</v>
      </c>
      <c r="F7" s="9">
        <v>19757</v>
      </c>
      <c r="G7" s="11">
        <v>45002</v>
      </c>
      <c r="H7" s="17">
        <f t="shared" si="0"/>
        <v>987.85</v>
      </c>
      <c r="I7" s="17">
        <f t="shared" si="1"/>
        <v>23672</v>
      </c>
      <c r="J7" s="17" t="str">
        <f t="shared" si="2"/>
        <v>Not Available</v>
      </c>
      <c r="K7" s="17"/>
      <c r="L7" s="17">
        <f t="shared" si="3"/>
        <v>19757</v>
      </c>
      <c r="M7" s="17"/>
      <c r="N7" s="17"/>
      <c r="O7" s="17"/>
      <c r="P7" s="17"/>
      <c r="Q7" s="17"/>
      <c r="R7" s="17">
        <f ca="1"/>
        <v>19757</v>
      </c>
    </row>
    <row r="8" spans="1:18">
      <c r="A8" s="8">
        <v>117</v>
      </c>
      <c r="B8" s="8" t="s">
        <v>70</v>
      </c>
      <c r="C8" s="9" t="s">
        <v>60</v>
      </c>
      <c r="D8" s="9" t="s">
        <v>63</v>
      </c>
      <c r="E8" s="9" t="s">
        <v>71</v>
      </c>
      <c r="F8" s="9">
        <v>32058</v>
      </c>
      <c r="G8" s="11">
        <v>45017</v>
      </c>
      <c r="H8" s="17">
        <f t="shared" si="0"/>
        <v>3205.8</v>
      </c>
      <c r="I8" s="17">
        <f t="shared" si="1"/>
        <v>23672</v>
      </c>
      <c r="J8" s="17" t="str">
        <f t="shared" si="2"/>
        <v>Not Available</v>
      </c>
      <c r="K8" s="17"/>
      <c r="L8" s="17">
        <f t="shared" si="3"/>
        <v>32058</v>
      </c>
      <c r="M8" s="17"/>
      <c r="N8" s="17"/>
      <c r="O8" s="17"/>
      <c r="P8" s="17"/>
      <c r="Q8" s="17"/>
      <c r="R8" s="17">
        <f ca="1"/>
        <v>32058</v>
      </c>
    </row>
    <row r="9" spans="1:18">
      <c r="A9" s="8">
        <v>118</v>
      </c>
      <c r="B9" s="8" t="s">
        <v>72</v>
      </c>
      <c r="C9" s="9" t="s">
        <v>50</v>
      </c>
      <c r="D9" s="9" t="s">
        <v>63</v>
      </c>
      <c r="E9" s="9" t="s">
        <v>73</v>
      </c>
      <c r="F9" s="9">
        <v>46424</v>
      </c>
      <c r="G9" s="11">
        <v>45032</v>
      </c>
      <c r="H9" s="17">
        <f t="shared" si="0"/>
        <v>9284.8000000000011</v>
      </c>
      <c r="I9" s="17">
        <f t="shared" si="1"/>
        <v>7048</v>
      </c>
      <c r="J9" s="17" t="str">
        <f t="shared" si="2"/>
        <v>Not Available</v>
      </c>
      <c r="K9" s="17"/>
      <c r="L9" s="17">
        <f t="shared" si="3"/>
        <v>46424</v>
      </c>
      <c r="M9" s="17"/>
      <c r="N9" s="17"/>
      <c r="O9" s="17"/>
      <c r="P9" s="17"/>
      <c r="Q9" s="17"/>
      <c r="R9" s="17">
        <f ca="1"/>
        <v>46424</v>
      </c>
    </row>
    <row r="10" spans="1:18">
      <c r="A10" s="8">
        <v>119</v>
      </c>
      <c r="B10" s="8" t="s">
        <v>74</v>
      </c>
      <c r="C10" s="9" t="s">
        <v>56</v>
      </c>
      <c r="D10" s="9" t="s">
        <v>63</v>
      </c>
      <c r="E10" s="9" t="s">
        <v>75</v>
      </c>
      <c r="F10" s="9">
        <v>19746</v>
      </c>
      <c r="G10" s="11">
        <v>45047</v>
      </c>
      <c r="H10" s="17">
        <f t="shared" si="0"/>
        <v>987.30000000000007</v>
      </c>
      <c r="I10" s="17">
        <f t="shared" si="1"/>
        <v>17428</v>
      </c>
      <c r="J10" s="17" t="str">
        <f t="shared" si="2"/>
        <v>Available</v>
      </c>
      <c r="K10" s="17"/>
      <c r="L10" s="17">
        <f t="shared" si="3"/>
        <v>19746</v>
      </c>
      <c r="M10" s="17"/>
      <c r="N10" s="17"/>
      <c r="O10" s="17"/>
      <c r="P10" s="17"/>
      <c r="Q10" s="17"/>
      <c r="R10" s="17">
        <f ca="1"/>
        <v>19746</v>
      </c>
    </row>
    <row r="11" spans="1:18">
      <c r="A11" s="8">
        <v>120</v>
      </c>
      <c r="B11" s="8" t="s">
        <v>76</v>
      </c>
      <c r="C11" s="9" t="s">
        <v>50</v>
      </c>
      <c r="D11" s="9" t="s">
        <v>51</v>
      </c>
      <c r="E11" s="9" t="s">
        <v>77</v>
      </c>
      <c r="F11" s="9">
        <v>35185</v>
      </c>
      <c r="G11" s="11">
        <v>45062</v>
      </c>
      <c r="H11" s="17">
        <f t="shared" si="0"/>
        <v>3518.5</v>
      </c>
      <c r="I11" s="17">
        <f t="shared" si="1"/>
        <v>7048</v>
      </c>
      <c r="J11" s="17" t="str">
        <f t="shared" si="2"/>
        <v>Not Available</v>
      </c>
      <c r="K11" s="17"/>
      <c r="L11" s="17">
        <f t="shared" si="3"/>
        <v>35185</v>
      </c>
      <c r="M11" s="17"/>
      <c r="N11" s="17"/>
      <c r="O11" s="17"/>
      <c r="P11" s="17"/>
      <c r="Q11" s="17"/>
      <c r="R11" s="17">
        <f ca="1"/>
        <v>35185</v>
      </c>
    </row>
    <row r="12" spans="1:18">
      <c r="A12" s="8">
        <v>121</v>
      </c>
      <c r="B12" s="8" t="s">
        <v>78</v>
      </c>
      <c r="C12" s="9" t="s">
        <v>50</v>
      </c>
      <c r="D12" s="9" t="s">
        <v>63</v>
      </c>
      <c r="E12" s="9" t="s">
        <v>79</v>
      </c>
      <c r="F12" s="9">
        <v>33920</v>
      </c>
      <c r="G12" s="11">
        <v>45077</v>
      </c>
      <c r="H12" s="17">
        <f t="shared" si="0"/>
        <v>3392</v>
      </c>
      <c r="I12" s="17">
        <f t="shared" si="1"/>
        <v>7048</v>
      </c>
      <c r="J12" s="17" t="str">
        <f t="shared" si="2"/>
        <v>Not Available</v>
      </c>
      <c r="K12" s="17"/>
      <c r="L12" s="17">
        <f t="shared" si="3"/>
        <v>33920</v>
      </c>
      <c r="M12" s="17"/>
      <c r="N12" s="17"/>
      <c r="O12" s="17"/>
      <c r="P12" s="17"/>
      <c r="Q12" s="17"/>
      <c r="R12" s="17">
        <f ca="1"/>
        <v>33920</v>
      </c>
    </row>
    <row r="13" spans="1:18">
      <c r="A13" s="8">
        <v>122</v>
      </c>
      <c r="B13" s="8" t="s">
        <v>80</v>
      </c>
      <c r="C13" s="9" t="s">
        <v>81</v>
      </c>
      <c r="D13" s="9" t="s">
        <v>66</v>
      </c>
      <c r="E13" s="9" t="s">
        <v>82</v>
      </c>
      <c r="F13" s="9">
        <v>35611</v>
      </c>
      <c r="G13" s="11">
        <v>45092</v>
      </c>
      <c r="H13" s="17">
        <f t="shared" si="0"/>
        <v>3561.1000000000004</v>
      </c>
      <c r="I13" s="17">
        <f t="shared" si="1"/>
        <v>35611</v>
      </c>
      <c r="J13" s="17" t="str">
        <f t="shared" si="2"/>
        <v>Not Available</v>
      </c>
      <c r="K13" s="17"/>
      <c r="L13" s="17">
        <f t="shared" si="3"/>
        <v>35611</v>
      </c>
      <c r="M13" s="17"/>
      <c r="N13" s="17"/>
      <c r="O13" s="17"/>
      <c r="P13" s="17"/>
      <c r="Q13" s="17"/>
      <c r="R13" s="17">
        <f ca="1"/>
        <v>35611</v>
      </c>
    </row>
    <row r="14" spans="1:18">
      <c r="A14" s="8">
        <v>123</v>
      </c>
      <c r="B14" s="8" t="s">
        <v>83</v>
      </c>
      <c r="C14" s="9" t="s">
        <v>84</v>
      </c>
      <c r="D14" s="9" t="s">
        <v>63</v>
      </c>
      <c r="E14" s="9" t="s">
        <v>85</v>
      </c>
      <c r="F14" s="9">
        <v>15560</v>
      </c>
      <c r="G14" s="11">
        <v>45107</v>
      </c>
      <c r="H14" s="17">
        <f t="shared" si="0"/>
        <v>778</v>
      </c>
      <c r="I14" s="17">
        <f t="shared" si="1"/>
        <v>15560</v>
      </c>
      <c r="J14" s="17" t="str">
        <f t="shared" si="2"/>
        <v>Not Available</v>
      </c>
      <c r="K14" s="17"/>
      <c r="L14" s="17">
        <f t="shared" si="3"/>
        <v>15560</v>
      </c>
      <c r="M14" s="17"/>
      <c r="N14" s="17"/>
      <c r="O14" s="17"/>
      <c r="P14" s="17"/>
      <c r="Q14" s="17"/>
      <c r="R14" s="17">
        <f ca="1"/>
        <v>15560</v>
      </c>
    </row>
    <row r="15" spans="1:18">
      <c r="A15" s="8">
        <v>124</v>
      </c>
      <c r="B15" s="8" t="s">
        <v>86</v>
      </c>
      <c r="C15" s="9" t="s">
        <v>84</v>
      </c>
      <c r="D15" s="9" t="s">
        <v>51</v>
      </c>
      <c r="E15" s="9" t="s">
        <v>87</v>
      </c>
      <c r="F15" s="9">
        <v>7283</v>
      </c>
      <c r="G15" s="11">
        <v>45122</v>
      </c>
      <c r="H15" s="17">
        <f t="shared" si="0"/>
        <v>0</v>
      </c>
      <c r="I15" s="17">
        <f t="shared" si="1"/>
        <v>15560</v>
      </c>
      <c r="J15" s="17" t="str">
        <f t="shared" si="2"/>
        <v>Not Available</v>
      </c>
      <c r="K15" s="17"/>
      <c r="L15" s="17">
        <f t="shared" si="3"/>
        <v>7283</v>
      </c>
      <c r="M15" s="17"/>
      <c r="N15" s="17"/>
      <c r="O15" s="17"/>
      <c r="P15" s="17"/>
      <c r="Q15" s="17"/>
      <c r="R15" s="17">
        <f ca="1"/>
        <v>7283</v>
      </c>
    </row>
    <row r="16" spans="1:18">
      <c r="A16" s="8">
        <v>125</v>
      </c>
      <c r="B16" s="8" t="s">
        <v>88</v>
      </c>
      <c r="C16" s="9" t="s">
        <v>84</v>
      </c>
      <c r="D16" s="9" t="s">
        <v>63</v>
      </c>
      <c r="E16" s="9" t="s">
        <v>89</v>
      </c>
      <c r="F16" s="9">
        <v>15678</v>
      </c>
      <c r="G16" s="11">
        <v>45137</v>
      </c>
      <c r="H16" s="17">
        <f t="shared" si="0"/>
        <v>783.90000000000009</v>
      </c>
      <c r="I16" s="17">
        <f t="shared" si="1"/>
        <v>15560</v>
      </c>
      <c r="J16" s="17" t="str">
        <f t="shared" si="2"/>
        <v>Not Available</v>
      </c>
      <c r="K16" s="17"/>
      <c r="L16" s="17">
        <f t="shared" si="3"/>
        <v>15678</v>
      </c>
      <c r="M16" s="17"/>
      <c r="N16" s="17"/>
      <c r="O16" s="17"/>
      <c r="P16" s="17"/>
      <c r="Q16" s="17"/>
      <c r="R16" s="17">
        <f ca="1"/>
        <v>15678</v>
      </c>
    </row>
    <row r="17" spans="1:18">
      <c r="A17" s="8">
        <v>126</v>
      </c>
      <c r="B17" s="8" t="s">
        <v>90</v>
      </c>
      <c r="C17" s="9" t="s">
        <v>60</v>
      </c>
      <c r="D17" s="9" t="s">
        <v>63</v>
      </c>
      <c r="E17" s="9" t="s">
        <v>91</v>
      </c>
      <c r="F17" s="9">
        <v>5277</v>
      </c>
      <c r="G17" s="11">
        <v>45152</v>
      </c>
      <c r="H17" s="17">
        <f t="shared" si="0"/>
        <v>0</v>
      </c>
      <c r="I17" s="17">
        <f t="shared" si="1"/>
        <v>23672</v>
      </c>
      <c r="J17" s="17" t="str">
        <f t="shared" si="2"/>
        <v>Not Available</v>
      </c>
      <c r="K17" s="17"/>
      <c r="L17" s="17">
        <f t="shared" si="3"/>
        <v>5277</v>
      </c>
      <c r="M17" s="17"/>
      <c r="N17" s="17"/>
      <c r="O17" s="17"/>
      <c r="P17" s="17"/>
      <c r="Q17" s="17"/>
      <c r="R17" s="17">
        <f ca="1"/>
        <v>5277</v>
      </c>
    </row>
    <row r="18" spans="1:18">
      <c r="A18" s="8">
        <v>127</v>
      </c>
      <c r="B18" s="8" t="s">
        <v>92</v>
      </c>
      <c r="C18" s="9" t="s">
        <v>81</v>
      </c>
      <c r="D18" s="9" t="s">
        <v>66</v>
      </c>
      <c r="E18" s="9" t="s">
        <v>93</v>
      </c>
      <c r="F18" s="9">
        <v>41871</v>
      </c>
      <c r="G18" s="11">
        <v>45167</v>
      </c>
      <c r="H18" s="17">
        <f t="shared" si="0"/>
        <v>8374.2000000000007</v>
      </c>
      <c r="I18" s="17">
        <f t="shared" si="1"/>
        <v>35611</v>
      </c>
      <c r="J18" s="17" t="str">
        <f t="shared" si="2"/>
        <v>Not Available</v>
      </c>
      <c r="K18" s="17"/>
      <c r="L18" s="17">
        <f t="shared" si="3"/>
        <v>41871</v>
      </c>
      <c r="M18" s="17"/>
      <c r="N18" s="17"/>
      <c r="O18" s="17"/>
      <c r="P18" s="17"/>
      <c r="Q18" s="17"/>
      <c r="R18" s="17">
        <f ca="1"/>
        <v>41871</v>
      </c>
    </row>
    <row r="19" spans="1:18">
      <c r="A19" s="8">
        <v>128</v>
      </c>
      <c r="B19" s="8" t="s">
        <v>94</v>
      </c>
      <c r="C19" s="9" t="s">
        <v>81</v>
      </c>
      <c r="D19" s="9" t="s">
        <v>57</v>
      </c>
      <c r="E19" s="9" t="s">
        <v>95</v>
      </c>
      <c r="F19" s="9">
        <v>38161</v>
      </c>
      <c r="G19" s="11">
        <v>45182</v>
      </c>
      <c r="H19" s="17">
        <f t="shared" si="0"/>
        <v>3816.1000000000004</v>
      </c>
      <c r="I19" s="17">
        <f t="shared" si="1"/>
        <v>35611</v>
      </c>
      <c r="J19" s="17" t="str">
        <f t="shared" si="2"/>
        <v>Not Available</v>
      </c>
      <c r="K19" s="17"/>
      <c r="L19" s="17">
        <f t="shared" si="3"/>
        <v>38161</v>
      </c>
      <c r="M19" s="17"/>
      <c r="N19" s="17"/>
      <c r="O19" s="17"/>
      <c r="P19" s="17"/>
      <c r="Q19" s="17"/>
      <c r="R19" s="17">
        <f ca="1"/>
        <v>38161</v>
      </c>
    </row>
    <row r="20" spans="1:18">
      <c r="A20" s="8">
        <v>129</v>
      </c>
      <c r="B20" s="8" t="s">
        <v>96</v>
      </c>
      <c r="C20" s="9" t="s">
        <v>60</v>
      </c>
      <c r="D20" s="9" t="s">
        <v>57</v>
      </c>
      <c r="E20" s="9" t="s">
        <v>97</v>
      </c>
      <c r="F20" s="9">
        <v>30436</v>
      </c>
      <c r="G20" s="11">
        <v>45197</v>
      </c>
      <c r="H20" s="17">
        <f t="shared" si="0"/>
        <v>3043.6000000000004</v>
      </c>
      <c r="I20" s="17">
        <f t="shared" si="1"/>
        <v>23672</v>
      </c>
      <c r="J20" s="17" t="str">
        <f t="shared" si="2"/>
        <v>Not Available</v>
      </c>
      <c r="K20" s="17"/>
      <c r="L20" s="17">
        <f t="shared" si="3"/>
        <v>30436</v>
      </c>
      <c r="M20" s="17"/>
      <c r="N20" s="17"/>
      <c r="O20" s="17"/>
      <c r="P20" s="17"/>
      <c r="Q20" s="17"/>
      <c r="R20" s="17">
        <f ca="1"/>
        <v>30436</v>
      </c>
    </row>
    <row r="21" spans="1:18">
      <c r="A21" s="8">
        <v>130</v>
      </c>
      <c r="B21" s="8" t="s">
        <v>98</v>
      </c>
      <c r="C21" s="9" t="s">
        <v>56</v>
      </c>
      <c r="D21" s="9" t="s">
        <v>57</v>
      </c>
      <c r="E21" s="9" t="s">
        <v>99</v>
      </c>
      <c r="F21" s="9">
        <v>33953</v>
      </c>
      <c r="G21" s="11">
        <v>45212</v>
      </c>
      <c r="H21" s="17">
        <f t="shared" si="0"/>
        <v>3395.3</v>
      </c>
      <c r="I21" s="17">
        <f t="shared" si="1"/>
        <v>17428</v>
      </c>
      <c r="J21" s="17" t="str">
        <f t="shared" si="2"/>
        <v>Available</v>
      </c>
      <c r="K21" s="17"/>
      <c r="L21" s="17">
        <f>VLOOKUP(B21,$B$2:$F$21,5,FALSE())</f>
        <v>33953</v>
      </c>
      <c r="M21" s="17"/>
      <c r="N21" s="17"/>
      <c r="O21" s="17"/>
      <c r="P21" s="17"/>
      <c r="Q21" s="17"/>
      <c r="R21" s="17">
        <f ca="1"/>
        <v>33953</v>
      </c>
    </row>
    <row r="22" spans="1:18">
      <c r="A22" s="10"/>
      <c r="B22" s="10"/>
      <c r="C22" s="10"/>
      <c r="D22" s="10"/>
      <c r="E22" s="10"/>
      <c r="F22" s="10"/>
      <c r="G2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36D3E-1E17-4ABD-993B-DFD5F61CE324}">
  <dimension ref="A1:N21"/>
  <sheetViews>
    <sheetView tabSelected="1" topLeftCell="K1" workbookViewId="0">
      <selection activeCell="G20" sqref="G20:N21"/>
    </sheetView>
  </sheetViews>
  <sheetFormatPr defaultColWidth="15.7109375" defaultRowHeight="18.75"/>
  <cols>
    <col min="1" max="1" width="15.7109375" style="7"/>
    <col min="2" max="2" width="20.42578125" style="7" customWidth="1"/>
    <col min="3" max="4" width="15.7109375" style="7"/>
    <col min="5" max="5" width="32.7109375" style="20" customWidth="1"/>
    <col min="6" max="6" width="31.42578125" style="20" customWidth="1"/>
    <col min="7" max="7" width="22.7109375" style="7" customWidth="1"/>
    <col min="8" max="8" width="20.5703125" style="7" customWidth="1"/>
    <col min="9" max="9" width="36.5703125" style="7" customWidth="1"/>
    <col min="10" max="10" width="15.7109375" style="7"/>
    <col min="11" max="11" width="33" style="7" customWidth="1"/>
    <col min="12" max="12" width="15.7109375" style="7"/>
    <col min="13" max="13" width="34.42578125" style="7" customWidth="1"/>
    <col min="14" max="14" width="33.7109375" style="7" customWidth="1"/>
    <col min="15" max="16384" width="15.7109375" style="7"/>
  </cols>
  <sheetData>
    <row r="1" spans="1:14" s="28" customFormat="1" ht="54.75">
      <c r="A1" s="27" t="s">
        <v>100</v>
      </c>
      <c r="B1" s="27" t="s">
        <v>1</v>
      </c>
      <c r="C1" s="27" t="s">
        <v>101</v>
      </c>
      <c r="D1" s="27" t="s">
        <v>102</v>
      </c>
      <c r="E1" s="23" t="s">
        <v>103</v>
      </c>
      <c r="F1" s="26" t="s">
        <v>104</v>
      </c>
      <c r="G1" s="27" t="s">
        <v>105</v>
      </c>
      <c r="H1" s="27" t="s">
        <v>100</v>
      </c>
      <c r="I1" s="29" t="s">
        <v>106</v>
      </c>
      <c r="J1" s="27" t="s">
        <v>100</v>
      </c>
      <c r="K1" s="27" t="s">
        <v>107</v>
      </c>
      <c r="L1" s="27" t="s">
        <v>108</v>
      </c>
      <c r="M1" s="27" t="s">
        <v>109</v>
      </c>
      <c r="N1" s="27" t="s">
        <v>110</v>
      </c>
    </row>
    <row r="2" spans="1:14" ht="21">
      <c r="A2" s="18">
        <v>101</v>
      </c>
      <c r="B2" s="18" t="s">
        <v>111</v>
      </c>
      <c r="C2" s="18" t="s">
        <v>112</v>
      </c>
      <c r="D2" s="18">
        <v>86766</v>
      </c>
      <c r="E2" s="19">
        <v>42005</v>
      </c>
      <c r="F2" s="21">
        <f ca="1">TODAY()</f>
        <v>46323</v>
      </c>
      <c r="G2" s="30">
        <f ca="1">DATEDIF(E2,F2,"Y")</f>
        <v>11</v>
      </c>
      <c r="H2" s="5">
        <v>101</v>
      </c>
      <c r="I2" s="31">
        <f>_xlfn.XLOOKUP(H2,$A$2:$A$21,$D$2:$D$21,"Not Found",0)</f>
        <v>86766</v>
      </c>
      <c r="J2" s="22">
        <v>105</v>
      </c>
      <c r="K2" s="5">
        <f>INDEX(D2:D21,MATCH($J$2,A2:A21,0))</f>
        <v>54149</v>
      </c>
      <c r="L2" s="3">
        <v>108</v>
      </c>
      <c r="M2" s="5">
        <f>_xlfn.XLOOKUP(L2,$A$2:$A$21,$D$2:$D$21,"Not Found")</f>
        <v>91659</v>
      </c>
      <c r="N2" s="5" cm="1">
        <f t="array" aca="1" ref="N2:N21" ca="1">INDIRECT("D2:D21")</f>
        <v>86766</v>
      </c>
    </row>
    <row r="3" spans="1:14" ht="21">
      <c r="A3" s="18">
        <v>102</v>
      </c>
      <c r="B3" s="18" t="s">
        <v>113</v>
      </c>
      <c r="C3" s="18" t="s">
        <v>112</v>
      </c>
      <c r="D3" s="18">
        <v>21943</v>
      </c>
      <c r="E3" s="19">
        <v>42020</v>
      </c>
      <c r="F3" s="21">
        <f t="shared" ref="F3:F21" ca="1" si="0">TODAY()</f>
        <v>46323</v>
      </c>
      <c r="G3" s="30">
        <f t="shared" ref="G3:G21" ca="1" si="1">DATEDIF(E3,F3,"Y")</f>
        <v>11</v>
      </c>
      <c r="H3" s="3"/>
      <c r="I3" s="3"/>
      <c r="J3" s="3"/>
      <c r="K3" s="3"/>
      <c r="L3" s="3"/>
      <c r="M3" s="3"/>
      <c r="N3" s="5">
        <f ca="1"/>
        <v>21943</v>
      </c>
    </row>
    <row r="4" spans="1:14" ht="21">
      <c r="A4" s="18">
        <v>103</v>
      </c>
      <c r="B4" s="18" t="s">
        <v>114</v>
      </c>
      <c r="C4" s="18" t="s">
        <v>115</v>
      </c>
      <c r="D4" s="18">
        <v>63374</v>
      </c>
      <c r="E4" s="19">
        <v>42400</v>
      </c>
      <c r="F4" s="21">
        <f t="shared" ca="1" si="0"/>
        <v>46323</v>
      </c>
      <c r="G4" s="30">
        <f t="shared" ca="1" si="1"/>
        <v>10</v>
      </c>
      <c r="H4" s="3"/>
      <c r="I4" s="3"/>
      <c r="J4" s="3"/>
      <c r="K4" s="3"/>
      <c r="L4" s="3"/>
      <c r="M4" s="3"/>
      <c r="N4" s="5">
        <f ca="1"/>
        <v>63374</v>
      </c>
    </row>
    <row r="5" spans="1:14" ht="21">
      <c r="A5" s="18">
        <v>104</v>
      </c>
      <c r="B5" s="18" t="s">
        <v>116</v>
      </c>
      <c r="C5" s="18" t="s">
        <v>112</v>
      </c>
      <c r="D5" s="18">
        <v>109972</v>
      </c>
      <c r="E5" s="19">
        <v>44972</v>
      </c>
      <c r="F5" s="21">
        <f t="shared" ca="1" si="0"/>
        <v>46323</v>
      </c>
      <c r="G5" s="30">
        <f t="shared" ca="1" si="1"/>
        <v>3</v>
      </c>
      <c r="H5" s="3"/>
      <c r="I5" s="3"/>
      <c r="J5" s="3"/>
      <c r="K5" s="3"/>
      <c r="L5" s="3"/>
      <c r="M5" s="3"/>
      <c r="N5" s="5">
        <f ca="1"/>
        <v>109972</v>
      </c>
    </row>
    <row r="6" spans="1:14" ht="21">
      <c r="A6" s="18">
        <v>105</v>
      </c>
      <c r="B6" s="18" t="s">
        <v>117</v>
      </c>
      <c r="C6" s="18" t="s">
        <v>118</v>
      </c>
      <c r="D6" s="18">
        <v>54149</v>
      </c>
      <c r="E6" s="19">
        <v>44987</v>
      </c>
      <c r="F6" s="21">
        <f t="shared" ca="1" si="0"/>
        <v>46323</v>
      </c>
      <c r="G6" s="30">
        <f t="shared" ca="1" si="1"/>
        <v>3</v>
      </c>
      <c r="H6" s="3"/>
      <c r="I6" s="3"/>
      <c r="J6" s="3"/>
      <c r="K6" s="3"/>
      <c r="L6" s="3"/>
      <c r="M6" s="3"/>
      <c r="N6" s="5">
        <f ca="1"/>
        <v>54149</v>
      </c>
    </row>
    <row r="7" spans="1:14" ht="21">
      <c r="A7" s="18">
        <v>106</v>
      </c>
      <c r="B7" s="18" t="s">
        <v>119</v>
      </c>
      <c r="C7" s="18" t="s">
        <v>118</v>
      </c>
      <c r="D7" s="18">
        <v>78689</v>
      </c>
      <c r="E7" s="19">
        <v>45002</v>
      </c>
      <c r="F7" s="21">
        <f t="shared" ca="1" si="0"/>
        <v>46323</v>
      </c>
      <c r="G7" s="30">
        <f t="shared" ca="1" si="1"/>
        <v>3</v>
      </c>
      <c r="H7" s="3"/>
      <c r="I7" s="3"/>
      <c r="J7" s="3"/>
      <c r="K7" s="3"/>
      <c r="L7" s="3"/>
      <c r="M7" s="3"/>
      <c r="N7" s="5">
        <f ca="1"/>
        <v>78689</v>
      </c>
    </row>
    <row r="8" spans="1:14" ht="21">
      <c r="A8" s="18">
        <v>107</v>
      </c>
      <c r="B8" s="18" t="s">
        <v>120</v>
      </c>
      <c r="C8" s="18" t="s">
        <v>121</v>
      </c>
      <c r="D8" s="18">
        <v>35960</v>
      </c>
      <c r="E8" s="19">
        <v>45017</v>
      </c>
      <c r="F8" s="21">
        <f t="shared" ca="1" si="0"/>
        <v>46323</v>
      </c>
      <c r="G8" s="30">
        <f t="shared" ca="1" si="1"/>
        <v>3</v>
      </c>
      <c r="H8" s="3"/>
      <c r="I8" s="3"/>
      <c r="J8" s="3"/>
      <c r="K8" s="3"/>
      <c r="L8" s="3"/>
      <c r="M8" s="3"/>
      <c r="N8" s="5">
        <f ca="1"/>
        <v>35960</v>
      </c>
    </row>
    <row r="9" spans="1:14" ht="21">
      <c r="A9" s="18">
        <v>108</v>
      </c>
      <c r="B9" s="18" t="s">
        <v>122</v>
      </c>
      <c r="C9" s="18" t="s">
        <v>118</v>
      </c>
      <c r="D9" s="18">
        <v>91659</v>
      </c>
      <c r="E9" s="19">
        <v>45032</v>
      </c>
      <c r="F9" s="21">
        <f t="shared" ca="1" si="0"/>
        <v>46323</v>
      </c>
      <c r="G9" s="30">
        <f t="shared" ca="1" si="1"/>
        <v>3</v>
      </c>
      <c r="H9" s="3"/>
      <c r="I9" s="3"/>
      <c r="J9" s="3"/>
      <c r="K9" s="3"/>
      <c r="L9" s="3"/>
      <c r="M9" s="3"/>
      <c r="N9" s="5">
        <f ca="1"/>
        <v>91659</v>
      </c>
    </row>
    <row r="10" spans="1:14" ht="21">
      <c r="A10" s="18">
        <v>109</v>
      </c>
      <c r="B10" s="18" t="s">
        <v>123</v>
      </c>
      <c r="C10" s="18" t="s">
        <v>118</v>
      </c>
      <c r="D10" s="18">
        <v>90423</v>
      </c>
      <c r="E10" s="19">
        <v>45047</v>
      </c>
      <c r="F10" s="21">
        <f t="shared" ca="1" si="0"/>
        <v>46323</v>
      </c>
      <c r="G10" s="30">
        <f t="shared" ca="1" si="1"/>
        <v>3</v>
      </c>
      <c r="H10" s="3"/>
      <c r="I10" s="3"/>
      <c r="J10" s="3"/>
      <c r="K10" s="3"/>
      <c r="L10" s="3"/>
      <c r="M10" s="3"/>
      <c r="N10" s="5">
        <f ca="1"/>
        <v>90423</v>
      </c>
    </row>
    <row r="11" spans="1:14" ht="21">
      <c r="A11" s="18">
        <v>110</v>
      </c>
      <c r="B11" s="18" t="s">
        <v>124</v>
      </c>
      <c r="C11" s="18" t="s">
        <v>115</v>
      </c>
      <c r="D11" s="18">
        <v>107877</v>
      </c>
      <c r="E11" s="19">
        <v>45062</v>
      </c>
      <c r="F11" s="21">
        <f t="shared" ca="1" si="0"/>
        <v>46323</v>
      </c>
      <c r="G11" s="30">
        <f t="shared" ca="1" si="1"/>
        <v>3</v>
      </c>
      <c r="H11" s="3"/>
      <c r="I11" s="3"/>
      <c r="J11" s="3"/>
      <c r="K11" s="3"/>
      <c r="L11" s="3"/>
      <c r="M11" s="3"/>
      <c r="N11" s="5">
        <f ca="1"/>
        <v>107877</v>
      </c>
    </row>
    <row r="12" spans="1:14" ht="21">
      <c r="A12" s="18">
        <v>111</v>
      </c>
      <c r="B12" s="18" t="s">
        <v>125</v>
      </c>
      <c r="C12" s="18" t="s">
        <v>112</v>
      </c>
      <c r="D12" s="18">
        <v>107634</v>
      </c>
      <c r="E12" s="19">
        <v>45077</v>
      </c>
      <c r="F12" s="21">
        <f t="shared" ca="1" si="0"/>
        <v>46323</v>
      </c>
      <c r="G12" s="30">
        <f t="shared" ca="1" si="1"/>
        <v>3</v>
      </c>
      <c r="H12" s="3"/>
      <c r="I12" s="3"/>
      <c r="J12" s="3"/>
      <c r="K12" s="3"/>
      <c r="L12" s="3"/>
      <c r="M12" s="3"/>
      <c r="N12" s="5">
        <f ca="1"/>
        <v>107634</v>
      </c>
    </row>
    <row r="13" spans="1:14" ht="21">
      <c r="A13" s="18">
        <v>112</v>
      </c>
      <c r="B13" s="18" t="s">
        <v>126</v>
      </c>
      <c r="C13" s="18" t="s">
        <v>112</v>
      </c>
      <c r="D13" s="18">
        <v>35226</v>
      </c>
      <c r="E13" s="19">
        <v>45092</v>
      </c>
      <c r="F13" s="21">
        <f t="shared" ca="1" si="0"/>
        <v>46323</v>
      </c>
      <c r="G13" s="30">
        <f t="shared" ca="1" si="1"/>
        <v>3</v>
      </c>
      <c r="H13" s="3"/>
      <c r="I13" s="3"/>
      <c r="J13" s="3"/>
      <c r="K13" s="3"/>
      <c r="L13" s="3"/>
      <c r="M13" s="3"/>
      <c r="N13" s="5">
        <f ca="1"/>
        <v>35226</v>
      </c>
    </row>
    <row r="14" spans="1:14" ht="21">
      <c r="A14" s="18">
        <v>113</v>
      </c>
      <c r="B14" s="18" t="s">
        <v>127</v>
      </c>
      <c r="C14" s="18" t="s">
        <v>115</v>
      </c>
      <c r="D14" s="18">
        <v>40872</v>
      </c>
      <c r="E14" s="19">
        <v>45107</v>
      </c>
      <c r="F14" s="21">
        <f t="shared" ca="1" si="0"/>
        <v>46323</v>
      </c>
      <c r="G14" s="30">
        <f t="shared" ca="1" si="1"/>
        <v>3</v>
      </c>
      <c r="H14" s="3"/>
      <c r="I14" s="3"/>
      <c r="J14" s="3"/>
      <c r="K14" s="3"/>
      <c r="L14" s="3"/>
      <c r="M14" s="3"/>
      <c r="N14" s="5">
        <f ca="1"/>
        <v>40872</v>
      </c>
    </row>
    <row r="15" spans="1:14" ht="21">
      <c r="A15" s="18">
        <v>114</v>
      </c>
      <c r="B15" s="18" t="s">
        <v>128</v>
      </c>
      <c r="C15" s="18" t="s">
        <v>115</v>
      </c>
      <c r="D15" s="18">
        <v>63297</v>
      </c>
      <c r="E15" s="19">
        <v>45122</v>
      </c>
      <c r="F15" s="21">
        <f t="shared" ca="1" si="0"/>
        <v>46323</v>
      </c>
      <c r="G15" s="30">
        <f t="shared" ca="1" si="1"/>
        <v>3</v>
      </c>
      <c r="H15" s="3"/>
      <c r="I15" s="3"/>
      <c r="J15" s="3"/>
      <c r="K15" s="3"/>
      <c r="L15" s="3"/>
      <c r="M15" s="3"/>
      <c r="N15" s="5">
        <f ca="1"/>
        <v>63297</v>
      </c>
    </row>
    <row r="16" spans="1:14" ht="21">
      <c r="A16" s="18">
        <v>115</v>
      </c>
      <c r="B16" s="18" t="s">
        <v>129</v>
      </c>
      <c r="C16" s="18" t="s">
        <v>115</v>
      </c>
      <c r="D16" s="18">
        <v>114173</v>
      </c>
      <c r="E16" s="19">
        <v>45137</v>
      </c>
      <c r="F16" s="21">
        <f t="shared" ca="1" si="0"/>
        <v>46323</v>
      </c>
      <c r="G16" s="30">
        <f t="shared" ca="1" si="1"/>
        <v>3</v>
      </c>
      <c r="H16" s="3"/>
      <c r="I16" s="3"/>
      <c r="J16" s="3"/>
      <c r="K16" s="3"/>
      <c r="L16" s="3"/>
      <c r="M16" s="3"/>
      <c r="N16" s="5">
        <f ca="1"/>
        <v>114173</v>
      </c>
    </row>
    <row r="17" spans="1:14" ht="21">
      <c r="A17" s="18">
        <v>116</v>
      </c>
      <c r="B17" s="18" t="s">
        <v>130</v>
      </c>
      <c r="C17" s="18" t="s">
        <v>112</v>
      </c>
      <c r="D17" s="18">
        <v>86915</v>
      </c>
      <c r="E17" s="19">
        <v>45152</v>
      </c>
      <c r="F17" s="21">
        <f t="shared" ca="1" si="0"/>
        <v>46323</v>
      </c>
      <c r="G17" s="30">
        <f t="shared" ca="1" si="1"/>
        <v>3</v>
      </c>
      <c r="H17" s="3"/>
      <c r="I17" s="3"/>
      <c r="J17" s="3"/>
      <c r="K17" s="3"/>
      <c r="L17" s="3"/>
      <c r="M17" s="3"/>
      <c r="N17" s="5">
        <f ca="1"/>
        <v>86915</v>
      </c>
    </row>
    <row r="18" spans="1:14" ht="21">
      <c r="A18" s="18">
        <v>117</v>
      </c>
      <c r="B18" s="18" t="s">
        <v>131</v>
      </c>
      <c r="C18" s="18" t="s">
        <v>115</v>
      </c>
      <c r="D18" s="18">
        <v>56784</v>
      </c>
      <c r="E18" s="19">
        <v>45167</v>
      </c>
      <c r="F18" s="21">
        <f t="shared" ca="1" si="0"/>
        <v>46323</v>
      </c>
      <c r="G18" s="30">
        <f t="shared" ca="1" si="1"/>
        <v>3</v>
      </c>
      <c r="H18" s="3"/>
      <c r="I18" s="3"/>
      <c r="J18" s="3"/>
      <c r="K18" s="3"/>
      <c r="L18" s="3"/>
      <c r="M18" s="3"/>
      <c r="N18" s="5">
        <f ca="1"/>
        <v>56784</v>
      </c>
    </row>
    <row r="19" spans="1:14" ht="21">
      <c r="A19" s="18">
        <v>118</v>
      </c>
      <c r="B19" s="18" t="s">
        <v>132</v>
      </c>
      <c r="C19" s="18" t="s">
        <v>118</v>
      </c>
      <c r="D19" s="18">
        <v>116284</v>
      </c>
      <c r="E19" s="19">
        <v>45182</v>
      </c>
      <c r="F19" s="21">
        <f t="shared" ca="1" si="0"/>
        <v>46323</v>
      </c>
      <c r="G19" s="34">
        <f t="shared" ca="1" si="1"/>
        <v>3</v>
      </c>
      <c r="H19" s="35"/>
      <c r="I19" s="35"/>
      <c r="J19" s="35"/>
      <c r="K19" s="35"/>
      <c r="L19" s="35"/>
      <c r="M19" s="35"/>
      <c r="N19" s="36">
        <f ca="1"/>
        <v>116284</v>
      </c>
    </row>
    <row r="20" spans="1:14" ht="21">
      <c r="A20" s="24">
        <v>119</v>
      </c>
      <c r="B20" s="24" t="s">
        <v>133</v>
      </c>
      <c r="C20" s="24" t="s">
        <v>121</v>
      </c>
      <c r="D20" s="24">
        <v>116283</v>
      </c>
      <c r="E20" s="25">
        <v>45197</v>
      </c>
      <c r="F20" s="32">
        <f t="shared" ca="1" si="0"/>
        <v>46323</v>
      </c>
      <c r="G20" s="30">
        <f t="shared" ca="1" si="1"/>
        <v>3</v>
      </c>
      <c r="H20" s="3"/>
      <c r="I20" s="3"/>
      <c r="J20" s="3"/>
      <c r="K20" s="3"/>
      <c r="L20" s="3"/>
      <c r="M20" s="3"/>
      <c r="N20" s="5">
        <f ca="1"/>
        <v>116283</v>
      </c>
    </row>
    <row r="21" spans="1:14" ht="21">
      <c r="A21" s="18">
        <v>120</v>
      </c>
      <c r="B21" s="18" t="s">
        <v>134</v>
      </c>
      <c r="C21" s="18" t="s">
        <v>121</v>
      </c>
      <c r="D21" s="18">
        <v>99924</v>
      </c>
      <c r="E21" s="19">
        <v>45212</v>
      </c>
      <c r="F21" s="33">
        <f t="shared" ca="1" si="0"/>
        <v>46323</v>
      </c>
      <c r="G21" s="30">
        <f t="shared" ca="1" si="1"/>
        <v>3</v>
      </c>
      <c r="H21" s="3"/>
      <c r="I21" s="3"/>
      <c r="J21" s="3"/>
      <c r="K21" s="3"/>
      <c r="L21" s="3"/>
      <c r="M21" s="3"/>
      <c r="N21" s="5">
        <f ca="1"/>
        <v>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2026-10-27T09:01:06Z</dcterms:created>
  <dcterms:modified xsi:type="dcterms:W3CDTF">2026-10-28T08:29:23Z</dcterms:modified>
  <cp:category/>
  <cp:contentStatus/>
</cp:coreProperties>
</file>